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ersonal Projects\Argon_RevB\Documentation\"/>
    </mc:Choice>
  </mc:AlternateContent>
  <bookViews>
    <workbookView xWindow="0" yWindow="0" windowWidth="28800" windowHeight="11535"/>
  </bookViews>
  <sheets>
    <sheet name="Sheet1" sheetId="1" r:id="rId1"/>
  </sheets>
  <externalReferences>
    <externalReference r:id="rId2"/>
  </externalReferences>
  <definedNames>
    <definedName name="IS_LOAD">Sheet1!$D$2</definedName>
    <definedName name="mega">1000000</definedName>
    <definedName name="V5_MAIN">5</definedName>
    <definedName name="VBAT">13.5</definedName>
    <definedName name="VBAT_MIN">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4" i="1" l="1"/>
  <c r="E74" i="1"/>
  <c r="F73" i="1"/>
  <c r="E73" i="1"/>
  <c r="F68" i="1"/>
  <c r="E68" i="1"/>
  <c r="F67" i="1"/>
  <c r="E67" i="1"/>
  <c r="F66" i="1"/>
  <c r="F88" i="1" s="1"/>
  <c r="F22" i="1" s="1"/>
  <c r="E66" i="1"/>
  <c r="F65" i="1"/>
  <c r="E65" i="1"/>
  <c r="E88" i="1" s="1"/>
  <c r="E22" i="1" s="1"/>
  <c r="F59" i="1"/>
  <c r="E59" i="1"/>
  <c r="F58" i="1"/>
  <c r="E58" i="1"/>
  <c r="F57" i="1"/>
  <c r="E57" i="1"/>
  <c r="F56" i="1"/>
  <c r="E56" i="1"/>
  <c r="F55" i="1"/>
  <c r="E55" i="1"/>
  <c r="F54" i="1"/>
  <c r="E54" i="1"/>
  <c r="F53" i="1"/>
  <c r="E53" i="1"/>
  <c r="F52" i="1"/>
  <c r="E52" i="1"/>
  <c r="F51" i="1"/>
  <c r="E51" i="1"/>
  <c r="F50" i="1"/>
  <c r="E50" i="1"/>
  <c r="F49" i="1"/>
  <c r="E49" i="1"/>
  <c r="F48" i="1"/>
  <c r="E48" i="1"/>
  <c r="F47" i="1"/>
  <c r="E47" i="1"/>
  <c r="F46" i="1"/>
  <c r="E46" i="1"/>
  <c r="F45" i="1"/>
  <c r="E45" i="1"/>
  <c r="F44" i="1"/>
  <c r="E44" i="1"/>
  <c r="F43" i="1"/>
  <c r="E43" i="1"/>
  <c r="F42" i="1"/>
  <c r="E42" i="1"/>
  <c r="F41" i="1"/>
  <c r="E41" i="1"/>
  <c r="F40" i="1"/>
  <c r="E40" i="1"/>
  <c r="F39" i="1"/>
  <c r="E39" i="1"/>
  <c r="F38" i="1"/>
  <c r="E38" i="1"/>
  <c r="F37" i="1"/>
  <c r="E37" i="1"/>
  <c r="F36" i="1"/>
  <c r="F62" i="1" s="1"/>
  <c r="F23" i="1" s="1"/>
  <c r="E36" i="1"/>
  <c r="E62" i="1" s="1"/>
  <c r="E23" i="1" s="1"/>
  <c r="B23" i="1"/>
  <c r="F16" i="1"/>
  <c r="E16" i="1"/>
  <c r="E15" i="1"/>
  <c r="F14" i="1"/>
  <c r="F26" i="1" l="1"/>
  <c r="E26" i="1"/>
</calcChain>
</file>

<file path=xl/comments1.xml><?xml version="1.0" encoding="utf-8"?>
<comments xmlns="http://schemas.openxmlformats.org/spreadsheetml/2006/main">
  <authors>
    <author>Ross Harvey</author>
  </authors>
  <commentList>
    <comment ref="E15" authorId="0" shapeId="0">
      <text>
        <r>
          <rPr>
            <b/>
            <sz val="9"/>
            <color indexed="81"/>
            <rFont val="Tahoma"/>
            <family val="2"/>
          </rPr>
          <t>Ross Harvey:</t>
        </r>
        <r>
          <rPr>
            <sz val="9"/>
            <color indexed="81"/>
            <rFont val="Tahoma"/>
            <family val="2"/>
          </rPr>
          <t xml:space="preserve">
Only Max value from -40 to 125C was given.  Guess based on other Si devices.</t>
        </r>
      </text>
    </comment>
    <comment ref="E70" authorId="0" shapeId="0">
      <text>
        <r>
          <rPr>
            <b/>
            <sz val="9"/>
            <color indexed="81"/>
            <rFont val="Tahoma"/>
            <family val="2"/>
          </rPr>
          <t>Ross Harvey:</t>
        </r>
        <r>
          <rPr>
            <sz val="9"/>
            <color indexed="81"/>
            <rFont val="Tahoma"/>
            <family val="2"/>
          </rPr>
          <t xml:space="preserve">
Only Max value from -40 to 125C was given.  Guess based on other Si devices.</t>
        </r>
      </text>
    </comment>
  </commentList>
</comments>
</file>

<file path=xl/sharedStrings.xml><?xml version="1.0" encoding="utf-8"?>
<sst xmlns="http://schemas.openxmlformats.org/spreadsheetml/2006/main" count="117" uniqueCount="94">
  <si>
    <t>Macros</t>
  </si>
  <si>
    <t>Headlight Controller - B1 Sample</t>
  </si>
  <si>
    <t>Schematic Sheet</t>
  </si>
  <si>
    <t>Voltage Rail
(V)</t>
  </si>
  <si>
    <t>Load</t>
  </si>
  <si>
    <t>Designator</t>
  </si>
  <si>
    <t>Comments</t>
  </si>
  <si>
    <t>Temp</t>
  </si>
  <si>
    <t>Nominal Operation</t>
  </si>
  <si>
    <t>Inrush</t>
  </si>
  <si>
    <t>Updated?</t>
  </si>
  <si>
    <t>Typical (A)</t>
  </si>
  <si>
    <t>Max @ 125C (A)</t>
  </si>
  <si>
    <t>Current (A)</t>
  </si>
  <si>
    <t>Duration (S)</t>
  </si>
  <si>
    <t>VBAT_PROT
9 - 27v</t>
  </si>
  <si>
    <t>Motors</t>
  </si>
  <si>
    <t>Leveling Motor</t>
  </si>
  <si>
    <t>x</t>
  </si>
  <si>
    <t>Cooling Fan</t>
  </si>
  <si>
    <t>ICs</t>
  </si>
  <si>
    <t>LV14240SQDDARQ1</t>
  </si>
  <si>
    <t>U4</t>
  </si>
  <si>
    <t>NCV78702MW0R2G</t>
  </si>
  <si>
    <t>U9</t>
  </si>
  <si>
    <t>NCV7321D12R2G</t>
  </si>
  <si>
    <t>U2</t>
  </si>
  <si>
    <t>VND7140AJTR-E</t>
  </si>
  <si>
    <t>U12</t>
  </si>
  <si>
    <t>NCV70501DW002R2G</t>
  </si>
  <si>
    <t>U3</t>
  </si>
  <si>
    <t>Voltage Rails (Derived from VBAT_PROT)</t>
  </si>
  <si>
    <t>VBOOST</t>
  </si>
  <si>
    <t>"Awake" efficiency=90%, "Sleep" efficiency=58-88%</t>
  </si>
  <si>
    <t>VBAT_PROT Total</t>
  </si>
  <si>
    <t>5V_MAIN</t>
  </si>
  <si>
    <t>S9KEAZN64AMLH</t>
  </si>
  <si>
    <t>U1</t>
  </si>
  <si>
    <t>SN74LV4051AQPWRQ1</t>
  </si>
  <si>
    <t>U10</t>
  </si>
  <si>
    <t>U11</t>
  </si>
  <si>
    <t>Other</t>
  </si>
  <si>
    <t>5v converter feedback divider</t>
  </si>
  <si>
    <t>R57</t>
  </si>
  <si>
    <t>LIN Rx</t>
  </si>
  <si>
    <t>R1</t>
  </si>
  <si>
    <t>SPI0_MISO</t>
  </si>
  <si>
    <t>R47</t>
  </si>
  <si>
    <t>SPI0_MOSI</t>
  </si>
  <si>
    <t>SPI0_CLK</t>
  </si>
  <si>
    <t>SPI1_MISO</t>
  </si>
  <si>
    <t>R46</t>
  </si>
  <si>
    <t>SPI1_MOSI</t>
  </si>
  <si>
    <t>SPI1_CLK</t>
  </si>
  <si>
    <t>Binning Resistor</t>
  </si>
  <si>
    <t>R61</t>
  </si>
  <si>
    <t>R64</t>
  </si>
  <si>
    <t>R67</t>
  </si>
  <si>
    <t>R73</t>
  </si>
  <si>
    <t>R75</t>
  </si>
  <si>
    <t>R79</t>
  </si>
  <si>
    <t>R83</t>
  </si>
  <si>
    <t>NTC</t>
  </si>
  <si>
    <t>R59</t>
  </si>
  <si>
    <t>R63</t>
  </si>
  <si>
    <t>R69</t>
  </si>
  <si>
    <t>R76</t>
  </si>
  <si>
    <t>R80</t>
  </si>
  <si>
    <t>ADC Diagnostics  Divider</t>
  </si>
  <si>
    <t>R133</t>
  </si>
  <si>
    <t>R134</t>
  </si>
  <si>
    <t>Leveling Error Pin</t>
  </si>
  <si>
    <t>R146</t>
  </si>
  <si>
    <t>HSD Error Pin</t>
  </si>
  <si>
    <t>R137</t>
  </si>
  <si>
    <t>5V_MAIN Total</t>
  </si>
  <si>
    <t>TPS92518-Q1</t>
  </si>
  <si>
    <t>U7</t>
  </si>
  <si>
    <t>U8</t>
  </si>
  <si>
    <t>U5</t>
  </si>
  <si>
    <t>U6</t>
  </si>
  <si>
    <t>VBOOST Feedback Divider</t>
  </si>
  <si>
    <t>R120</t>
  </si>
  <si>
    <t>VBOOST Monitor Divider</t>
  </si>
  <si>
    <t>R126</t>
  </si>
  <si>
    <t>Low Beam Spot</t>
  </si>
  <si>
    <t>Low Beam Wide</t>
  </si>
  <si>
    <t>Low Beam Supplement</t>
  </si>
  <si>
    <t>High Beam</t>
  </si>
  <si>
    <t>Turn</t>
  </si>
  <si>
    <t>DRL1</t>
  </si>
  <si>
    <t>DRL2</t>
  </si>
  <si>
    <t>DRL3</t>
  </si>
  <si>
    <t>VBOOST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</si>
</sst>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[&gt;=0.1]\ ###0.0#;[&lt;0.1]0.0#####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 Light"/>
      <family val="1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3DEDD"/>
        <bgColor indexed="64"/>
      </patternFill>
    </fill>
    <fill>
      <patternFill patternType="solid">
        <fgColor rgb="FFFFEEB9"/>
        <bgColor indexed="64"/>
      </patternFill>
    </fill>
    <fill>
      <patternFill patternType="solid">
        <fgColor rgb="FFD7E5F5"/>
        <bgColor indexed="64"/>
      </patternFill>
    </fill>
    <fill>
      <patternFill patternType="solid">
        <fgColor theme="6" tint="0.79998168889431442"/>
        <bgColor indexed="64"/>
      </patternFill>
    </fill>
  </fills>
  <borders count="32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/>
    <xf numFmtId="0" fontId="5" fillId="0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0" fontId="2" fillId="3" borderId="9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3" borderId="15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/>
    </xf>
    <xf numFmtId="0" fontId="2" fillId="7" borderId="17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wrapText="1"/>
    </xf>
    <xf numFmtId="0" fontId="2" fillId="6" borderId="19" xfId="0" applyFont="1" applyFill="1" applyBorder="1" applyAlignment="1">
      <alignment wrapText="1"/>
    </xf>
    <xf numFmtId="0" fontId="2" fillId="7" borderId="20" xfId="0" applyFont="1" applyFill="1" applyBorder="1" applyAlignment="1">
      <alignment horizontal="center" vertical="center"/>
    </xf>
    <xf numFmtId="0" fontId="0" fillId="8" borderId="21" xfId="0" applyFont="1" applyFill="1" applyBorder="1" applyAlignment="1">
      <alignment horizontal="center" vertical="center" textRotation="90" wrapText="1"/>
    </xf>
    <xf numFmtId="0" fontId="2" fillId="5" borderId="22" xfId="0" applyFont="1" applyFill="1" applyBorder="1" applyAlignment="1">
      <alignment horizontal="left"/>
    </xf>
    <xf numFmtId="0" fontId="2" fillId="5" borderId="23" xfId="0" applyFont="1" applyFill="1" applyBorder="1" applyAlignment="1">
      <alignment horizontal="left"/>
    </xf>
    <xf numFmtId="0" fontId="0" fillId="8" borderId="24" xfId="0" applyFont="1" applyFill="1" applyBorder="1" applyAlignment="1">
      <alignment horizontal="center" vertical="center" textRotation="90" wrapText="1"/>
    </xf>
    <xf numFmtId="0" fontId="0" fillId="0" borderId="16" xfId="0" applyFont="1" applyBorder="1" applyAlignment="1">
      <alignment horizontal="left" indent="2"/>
    </xf>
    <xf numFmtId="165" fontId="0" fillId="9" borderId="16" xfId="0" applyNumberFormat="1" applyFont="1" applyFill="1" applyBorder="1" applyAlignment="1">
      <alignment horizontal="center"/>
    </xf>
    <xf numFmtId="0" fontId="0" fillId="10" borderId="16" xfId="0" applyFont="1" applyFill="1" applyBorder="1"/>
    <xf numFmtId="0" fontId="0" fillId="0" borderId="25" xfId="0" applyFont="1" applyBorder="1"/>
    <xf numFmtId="0" fontId="2" fillId="5" borderId="16" xfId="0" applyFont="1" applyFill="1" applyBorder="1" applyAlignment="1">
      <alignment horizontal="left"/>
    </xf>
    <xf numFmtId="0" fontId="2" fillId="5" borderId="25" xfId="0" applyFont="1" applyFill="1" applyBorder="1" applyAlignment="1">
      <alignment horizontal="left"/>
    </xf>
    <xf numFmtId="165" fontId="1" fillId="9" borderId="16" xfId="0" applyNumberFormat="1" applyFont="1" applyFill="1" applyBorder="1" applyAlignment="1">
      <alignment horizontal="center"/>
    </xf>
    <xf numFmtId="165" fontId="0" fillId="9" borderId="16" xfId="0" applyNumberFormat="1" applyFill="1" applyBorder="1" applyAlignment="1">
      <alignment horizontal="center"/>
    </xf>
    <xf numFmtId="0" fontId="0" fillId="0" borderId="16" xfId="0" applyBorder="1" applyAlignment="1">
      <alignment horizontal="left" indent="2"/>
    </xf>
    <xf numFmtId="0" fontId="0" fillId="0" borderId="25" xfId="0" applyBorder="1"/>
    <xf numFmtId="165" fontId="7" fillId="9" borderId="16" xfId="0" quotePrefix="1" applyNumberFormat="1" applyFont="1" applyFill="1" applyBorder="1" applyAlignment="1">
      <alignment horizontal="center"/>
    </xf>
    <xf numFmtId="0" fontId="2" fillId="4" borderId="26" xfId="0" applyFont="1" applyFill="1" applyBorder="1"/>
    <xf numFmtId="0" fontId="0" fillId="11" borderId="27" xfId="0" applyFont="1" applyFill="1" applyBorder="1" applyAlignment="1">
      <alignment horizontal="left" indent="1"/>
    </xf>
    <xf numFmtId="165" fontId="0" fillId="11" borderId="27" xfId="0" applyNumberFormat="1" applyFont="1" applyFill="1" applyBorder="1" applyAlignment="1">
      <alignment horizontal="center"/>
    </xf>
    <xf numFmtId="0" fontId="2" fillId="11" borderId="27" xfId="0" applyFont="1" applyFill="1" applyBorder="1"/>
    <xf numFmtId="0" fontId="0" fillId="11" borderId="28" xfId="0" applyFont="1" applyFill="1" applyBorder="1"/>
    <xf numFmtId="0" fontId="8" fillId="8" borderId="21" xfId="0" applyFont="1" applyFill="1" applyBorder="1" applyAlignment="1">
      <alignment horizontal="center" vertical="center" textRotation="90" wrapText="1"/>
    </xf>
    <xf numFmtId="0" fontId="8" fillId="8" borderId="24" xfId="0" applyFont="1" applyFill="1" applyBorder="1" applyAlignment="1">
      <alignment horizontal="center" vertical="center" textRotation="90" wrapText="1"/>
    </xf>
    <xf numFmtId="0" fontId="0" fillId="0" borderId="16" xfId="0" applyFill="1" applyBorder="1" applyAlignment="1">
      <alignment horizontal="left" indent="2"/>
    </xf>
    <xf numFmtId="165" fontId="7" fillId="9" borderId="16" xfId="0" applyNumberFormat="1" applyFont="1" applyFill="1" applyBorder="1" applyAlignment="1">
      <alignment horizontal="center"/>
    </xf>
    <xf numFmtId="165" fontId="9" fillId="9" borderId="16" xfId="0" applyNumberFormat="1" applyFont="1" applyFill="1" applyBorder="1" applyAlignment="1">
      <alignment horizontal="center"/>
    </xf>
    <xf numFmtId="0" fontId="0" fillId="10" borderId="16" xfId="0" applyFill="1" applyBorder="1"/>
    <xf numFmtId="0" fontId="2" fillId="5" borderId="29" xfId="0" applyFont="1" applyFill="1" applyBorder="1" applyAlignment="1">
      <alignment horizontal="left"/>
    </xf>
    <xf numFmtId="0" fontId="2" fillId="5" borderId="30" xfId="0" applyFont="1" applyFill="1" applyBorder="1" applyAlignment="1">
      <alignment horizontal="left"/>
    </xf>
    <xf numFmtId="0" fontId="2" fillId="5" borderId="31" xfId="0" applyFont="1" applyFill="1" applyBorder="1" applyAlignment="1">
      <alignment horizontal="left"/>
    </xf>
    <xf numFmtId="0" fontId="0" fillId="11" borderId="27" xfId="0" applyFill="1" applyBorder="1" applyAlignment="1">
      <alignment horizontal="left" indent="1"/>
    </xf>
    <xf numFmtId="165" fontId="0" fillId="11" borderId="27" xfId="0" applyNumberFormat="1" applyFill="1" applyBorder="1" applyAlignment="1">
      <alignment horizontal="center"/>
    </xf>
    <xf numFmtId="0" fontId="0" fillId="11" borderId="27" xfId="0" applyFill="1" applyBorder="1" applyAlignment="1">
      <alignment horizontal="center"/>
    </xf>
    <xf numFmtId="0" fontId="0" fillId="11" borderId="28" xfId="0" applyFill="1" applyBorder="1"/>
    <xf numFmtId="0" fontId="0" fillId="0" borderId="11" xfId="0" applyBorder="1"/>
  </cellXfs>
  <cellStyles count="1">
    <cellStyle name="Normal" xfId="0" builtinId="0"/>
  </cellStyles>
  <dxfs count="124">
    <dxf>
      <font>
        <b/>
        <i/>
        <color rgb="FFFF0000"/>
      </font>
    </dxf>
    <dxf>
      <font>
        <strike val="0"/>
      </font>
      <fill>
        <patternFill>
          <bgColor theme="5" tint="0.59996337778862885"/>
        </patternFill>
      </fill>
    </dxf>
    <dxf>
      <font>
        <b/>
        <i/>
        <color rgb="FFFF0000"/>
      </font>
    </dxf>
    <dxf>
      <font>
        <strike val="0"/>
      </font>
      <fill>
        <patternFill>
          <bgColor theme="5" tint="0.59996337778862885"/>
        </patternFill>
      </fill>
    </dxf>
    <dxf>
      <font>
        <strike val="0"/>
      </font>
      <fill>
        <patternFill>
          <bgColor theme="5" tint="0.59996337778862885"/>
        </patternFill>
      </fill>
    </dxf>
    <dxf>
      <font>
        <strike val="0"/>
      </font>
      <fill>
        <patternFill>
          <bgColor theme="5" tint="0.59996337778862885"/>
        </patternFill>
      </fill>
    </dxf>
    <dxf>
      <numFmt numFmtId="164" formatCode="[&gt;=0.1]0.##0;[&lt;0.1]0.0#####"/>
    </dxf>
    <dxf>
      <numFmt numFmtId="164" formatCode="[&gt;=0.1]0.##0;[&lt;0.1]0.0#####"/>
    </dxf>
    <dxf>
      <numFmt numFmtId="164" formatCode="[&gt;=0.1]0.##0;[&lt;0.1]0.0#####"/>
    </dxf>
    <dxf>
      <numFmt numFmtId="164" formatCode="[&gt;=0.1]0.##0;[&lt;0.1]0.0#####"/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numFmt numFmtId="164" formatCode="[&gt;=0.1]0.##0;[&lt;0.1]0.0#####"/>
    </dxf>
    <dxf>
      <numFmt numFmtId="164" formatCode="[&gt;=0.1]0.##0;[&lt;0.1]0.0#####"/>
    </dxf>
    <dxf>
      <font>
        <color rgb="FF00B0F0"/>
      </font>
    </dxf>
    <dxf>
      <font>
        <b/>
        <i val="0"/>
        <color rgb="FF00B050"/>
      </font>
    </dxf>
    <dxf>
      <font>
        <color rgb="FF00B0F0"/>
      </font>
    </dxf>
    <dxf>
      <font>
        <b/>
        <i val="0"/>
        <color rgb="FF00B050"/>
      </font>
    </dxf>
    <dxf>
      <numFmt numFmtId="164" formatCode="[&gt;=0.1]0.##0;[&lt;0.1]0.0#####"/>
    </dxf>
    <dxf>
      <numFmt numFmtId="164" formatCode="[&gt;=0.1]0.##0;[&lt;0.1]0.0#####"/>
    </dxf>
    <dxf>
      <font>
        <color rgb="FF00B0F0"/>
      </font>
    </dxf>
    <dxf>
      <font>
        <b/>
        <i val="0"/>
        <color rgb="FF00B050"/>
      </font>
    </dxf>
    <dxf>
      <font>
        <color rgb="FF00B0F0"/>
      </font>
    </dxf>
    <dxf>
      <font>
        <b/>
        <i val="0"/>
        <color rgb="FF00B050"/>
      </font>
    </dxf>
    <dxf>
      <numFmt numFmtId="164" formatCode="[&gt;=0.1]0.##0;[&lt;0.1]0.0#####"/>
    </dxf>
    <dxf>
      <numFmt numFmtId="164" formatCode="[&gt;=0.1]0.##0;[&lt;0.1]0.0#####"/>
    </dxf>
    <dxf>
      <numFmt numFmtId="164" formatCode="[&gt;=0.1]0.##0;[&lt;0.1]0.0#####"/>
    </dxf>
    <dxf>
      <numFmt numFmtId="164" formatCode="[&gt;=0.1]0.##0;[&lt;0.1]0.0#####"/>
    </dxf>
    <dxf>
      <numFmt numFmtId="164" formatCode="[&gt;=0.1]0.##0;[&lt;0.1]0.0#####"/>
    </dxf>
    <dxf>
      <numFmt numFmtId="164" formatCode="[&gt;=0.1]0.##0;[&lt;0.1]0.0#####"/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numFmt numFmtId="164" formatCode="[&gt;=0.1]0.##0;[&lt;0.1]0.0#####"/>
    </dxf>
    <dxf>
      <numFmt numFmtId="164" formatCode="[&gt;=0.1]0.##0;[&lt;0.1]0.0#####"/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b/>
        <i/>
        <color rgb="FFFF0000"/>
      </font>
    </dxf>
    <dxf>
      <font>
        <color rgb="FF00B0F0"/>
      </font>
    </dxf>
    <dxf>
      <font>
        <b/>
        <i val="0"/>
        <color rgb="FF00B050"/>
      </font>
    </dxf>
    <dxf>
      <font>
        <color rgb="FF00B0F0"/>
      </font>
    </dxf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133350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Hide Detail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0</xdr:row>
          <xdr:rowOff>133350</xdr:rowOff>
        </xdr:from>
        <xdr:to>
          <xdr:col>1</xdr:col>
          <xdr:colOff>1847850</xdr:colOff>
          <xdr:row>0</xdr:row>
          <xdr:rowOff>314325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Detail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Model3/1107164-XX-D%20%20(PCBA,%20MODEL%203%20HEADLIGHT%20CONTROLLER)/Documentation/Model%203%20-%20Headlight%20Controller%20-%20Power%20Budg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dlight Controller"/>
    </sheetNames>
    <definedNames>
      <definedName name="HideDetailLeft"/>
      <definedName name="ShowDetailLef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89"/>
  <sheetViews>
    <sheetView tabSelected="1" workbookViewId="0">
      <selection activeCell="B2" sqref="B2"/>
    </sheetView>
  </sheetViews>
  <sheetFormatPr defaultRowHeight="15" x14ac:dyDescent="0.25"/>
  <cols>
    <col min="1" max="1" width="19.7109375" customWidth="1"/>
    <col min="2" max="2" width="48.140625" customWidth="1"/>
    <col min="3" max="3" width="12.140625" hidden="1" customWidth="1"/>
    <col min="4" max="4" width="17.7109375" customWidth="1"/>
    <col min="5" max="5" width="11.28515625" style="6" customWidth="1"/>
    <col min="6" max="6" width="15.42578125" style="6" customWidth="1"/>
    <col min="7" max="7" width="12.140625" style="6" customWidth="1"/>
    <col min="8" max="8" width="13.42578125" style="6" customWidth="1"/>
    <col min="9" max="9" width="65.7109375" customWidth="1"/>
    <col min="10" max="10" width="54.5703125" customWidth="1"/>
  </cols>
  <sheetData>
    <row r="1" spans="1:10" ht="33" thickTop="1" thickBot="1" x14ac:dyDescent="0.55000000000000004">
      <c r="A1" s="1" t="s">
        <v>0</v>
      </c>
      <c r="B1" s="2"/>
      <c r="C1" s="2"/>
      <c r="D1" s="2"/>
      <c r="E1" s="2"/>
      <c r="F1" s="2"/>
      <c r="G1" s="2"/>
      <c r="H1" s="2"/>
      <c r="I1" s="3"/>
    </row>
    <row r="2" spans="1:10" ht="27.75" thickTop="1" thickBot="1" x14ac:dyDescent="0.3">
      <c r="B2" s="4"/>
      <c r="C2" s="4"/>
      <c r="D2" s="5" t="b">
        <v>1</v>
      </c>
    </row>
    <row r="3" spans="1:10" ht="27" thickBot="1" x14ac:dyDescent="0.3">
      <c r="A3" s="7" t="s">
        <v>1</v>
      </c>
      <c r="B3" s="8"/>
      <c r="C3" s="8"/>
      <c r="D3" s="8"/>
      <c r="E3" s="8"/>
      <c r="F3" s="8"/>
      <c r="G3" s="8"/>
      <c r="H3" s="8"/>
      <c r="I3" s="9"/>
      <c r="J3" s="10" t="s">
        <v>2</v>
      </c>
    </row>
    <row r="4" spans="1:10" x14ac:dyDescent="0.25">
      <c r="A4" s="11" t="s">
        <v>3</v>
      </c>
      <c r="B4" s="12" t="s">
        <v>4</v>
      </c>
      <c r="C4" s="13"/>
      <c r="D4" s="14" t="s">
        <v>5</v>
      </c>
      <c r="E4" s="15"/>
      <c r="F4" s="15"/>
      <c r="G4" s="15"/>
      <c r="H4" s="16"/>
      <c r="I4" s="17" t="s">
        <v>6</v>
      </c>
      <c r="J4" s="18"/>
    </row>
    <row r="5" spans="1:10" x14ac:dyDescent="0.25">
      <c r="A5" s="19"/>
      <c r="B5" s="14"/>
      <c r="C5" s="13" t="s">
        <v>7</v>
      </c>
      <c r="D5" s="14"/>
      <c r="E5" s="20" t="s">
        <v>8</v>
      </c>
      <c r="F5" s="20"/>
      <c r="G5" s="20" t="s">
        <v>9</v>
      </c>
      <c r="H5" s="20"/>
      <c r="I5" s="21"/>
      <c r="J5" s="18"/>
    </row>
    <row r="6" spans="1:10" ht="15.75" thickBot="1" x14ac:dyDescent="0.3">
      <c r="A6" s="22"/>
      <c r="B6" s="23"/>
      <c r="C6" s="13" t="s">
        <v>10</v>
      </c>
      <c r="D6" s="14"/>
      <c r="E6" s="24" t="s">
        <v>11</v>
      </c>
      <c r="F6" s="24" t="s">
        <v>12</v>
      </c>
      <c r="G6" s="24" t="s">
        <v>13</v>
      </c>
      <c r="H6" s="25" t="s">
        <v>14</v>
      </c>
      <c r="I6" s="26"/>
      <c r="J6" s="18"/>
    </row>
    <row r="7" spans="1:10" x14ac:dyDescent="0.25">
      <c r="A7" s="27" t="s">
        <v>15</v>
      </c>
      <c r="B7" s="28" t="s">
        <v>16</v>
      </c>
      <c r="C7" s="28"/>
      <c r="D7" s="28"/>
      <c r="E7" s="28"/>
      <c r="F7" s="28"/>
      <c r="G7" s="28"/>
      <c r="H7" s="28"/>
      <c r="I7" s="28"/>
      <c r="J7" s="29"/>
    </row>
    <row r="8" spans="1:10" x14ac:dyDescent="0.25">
      <c r="A8" s="30"/>
      <c r="B8" s="31" t="s">
        <v>17</v>
      </c>
      <c r="C8" s="31" t="s">
        <v>18</v>
      </c>
      <c r="D8" s="31"/>
      <c r="E8" s="32">
        <v>0.06</v>
      </c>
      <c r="F8" s="32">
        <v>0.3</v>
      </c>
      <c r="G8" s="32"/>
      <c r="H8" s="32"/>
      <c r="I8" s="33"/>
      <c r="J8" s="34"/>
    </row>
    <row r="9" spans="1:10" x14ac:dyDescent="0.25">
      <c r="A9" s="30"/>
      <c r="B9" s="31" t="s">
        <v>19</v>
      </c>
      <c r="C9" s="31" t="s">
        <v>18</v>
      </c>
      <c r="D9" s="31"/>
      <c r="E9" s="32">
        <v>0.35</v>
      </c>
      <c r="F9" s="32">
        <v>1.35</v>
      </c>
      <c r="G9" s="32"/>
      <c r="H9" s="32"/>
      <c r="I9" s="33"/>
      <c r="J9" s="34"/>
    </row>
    <row r="10" spans="1:10" x14ac:dyDescent="0.25">
      <c r="A10" s="30"/>
      <c r="B10" s="31"/>
      <c r="C10" s="31"/>
      <c r="D10" s="31"/>
      <c r="E10" s="32"/>
      <c r="F10" s="32"/>
      <c r="G10" s="32"/>
      <c r="H10" s="32"/>
      <c r="I10" s="33"/>
      <c r="J10" s="34"/>
    </row>
    <row r="11" spans="1:10" x14ac:dyDescent="0.25">
      <c r="A11" s="30"/>
      <c r="B11" s="31"/>
      <c r="C11" s="31"/>
      <c r="D11" s="31"/>
      <c r="E11" s="32"/>
      <c r="F11" s="32"/>
      <c r="G11" s="32"/>
      <c r="H11" s="32"/>
      <c r="I11" s="33"/>
      <c r="J11" s="34"/>
    </row>
    <row r="12" spans="1:10" x14ac:dyDescent="0.25">
      <c r="A12" s="30"/>
      <c r="B12" s="35" t="s">
        <v>20</v>
      </c>
      <c r="C12" s="35"/>
      <c r="D12" s="35"/>
      <c r="E12" s="35"/>
      <c r="F12" s="35"/>
      <c r="G12" s="35"/>
      <c r="H12" s="35"/>
      <c r="I12" s="35"/>
      <c r="J12" s="36"/>
    </row>
    <row r="13" spans="1:10" x14ac:dyDescent="0.25">
      <c r="A13" s="30"/>
      <c r="B13" s="31" t="s">
        <v>21</v>
      </c>
      <c r="C13" s="31" t="s">
        <v>18</v>
      </c>
      <c r="D13" s="31" t="s">
        <v>22</v>
      </c>
      <c r="E13" s="32">
        <v>4.0000000000000003E-5</v>
      </c>
      <c r="F13" s="32">
        <v>6.0000000000000002E-5</v>
      </c>
      <c r="G13" s="32"/>
      <c r="H13" s="32"/>
      <c r="I13" s="33"/>
      <c r="J13" s="34"/>
    </row>
    <row r="14" spans="1:10" x14ac:dyDescent="0.25">
      <c r="A14" s="30"/>
      <c r="B14" s="31" t="s">
        <v>23</v>
      </c>
      <c r="C14" s="31"/>
      <c r="D14" s="31" t="s">
        <v>24</v>
      </c>
      <c r="E14" s="32">
        <v>0.05</v>
      </c>
      <c r="F14" s="32">
        <f>0.05+0.09</f>
        <v>0.14000000000000001</v>
      </c>
      <c r="G14" s="32"/>
      <c r="H14" s="32"/>
      <c r="I14" s="33"/>
      <c r="J14" s="34"/>
    </row>
    <row r="15" spans="1:10" x14ac:dyDescent="0.25">
      <c r="A15" s="30"/>
      <c r="B15" s="31" t="s">
        <v>25</v>
      </c>
      <c r="C15" s="31"/>
      <c r="D15" s="31" t="s">
        <v>26</v>
      </c>
      <c r="E15" s="37">
        <f>0.008/1.8</f>
        <v>4.4444444444444444E-3</v>
      </c>
      <c r="F15" s="38">
        <v>8.0000000000000002E-3</v>
      </c>
      <c r="G15" s="32"/>
      <c r="H15" s="32"/>
      <c r="I15" s="33"/>
      <c r="J15" s="34"/>
    </row>
    <row r="16" spans="1:10" x14ac:dyDescent="0.25">
      <c r="A16" s="30"/>
      <c r="B16" s="31" t="s">
        <v>27</v>
      </c>
      <c r="C16" s="31"/>
      <c r="D16" s="31" t="s">
        <v>28</v>
      </c>
      <c r="E16" s="32">
        <f>IF(IS_LOAD,0.01,C16/1000000)</f>
        <v>0.01</v>
      </c>
      <c r="F16" s="32">
        <f>IF(IS_LOAD,0.016,D16/1000000)</f>
        <v>1.6E-2</v>
      </c>
      <c r="G16" s="32"/>
      <c r="H16" s="32"/>
      <c r="I16" s="33"/>
      <c r="J16" s="34"/>
    </row>
    <row r="17" spans="1:10" x14ac:dyDescent="0.25">
      <c r="A17" s="30"/>
      <c r="B17" s="31" t="s">
        <v>29</v>
      </c>
      <c r="C17" s="31"/>
      <c r="D17" s="39" t="s">
        <v>30</v>
      </c>
      <c r="E17" s="32"/>
      <c r="F17" s="32"/>
      <c r="G17" s="32"/>
      <c r="H17" s="32"/>
      <c r="I17" s="33"/>
      <c r="J17" s="40"/>
    </row>
    <row r="18" spans="1:10" x14ac:dyDescent="0.25">
      <c r="A18" s="30"/>
      <c r="B18" s="31"/>
      <c r="C18" s="31"/>
      <c r="D18" s="39"/>
      <c r="E18" s="32"/>
      <c r="F18" s="32"/>
      <c r="G18" s="32"/>
      <c r="H18" s="32"/>
      <c r="I18" s="33"/>
      <c r="J18" s="40"/>
    </row>
    <row r="19" spans="1:10" x14ac:dyDescent="0.25">
      <c r="A19" s="30"/>
      <c r="B19" s="31"/>
      <c r="C19" s="31"/>
      <c r="D19" s="39"/>
      <c r="E19" s="32"/>
      <c r="F19" s="32"/>
      <c r="G19" s="32"/>
      <c r="H19" s="32"/>
      <c r="I19" s="33"/>
      <c r="J19" s="40"/>
    </row>
    <row r="20" spans="1:10" x14ac:dyDescent="0.25">
      <c r="A20" s="30"/>
      <c r="B20" s="31"/>
      <c r="C20" s="31"/>
      <c r="D20" s="39"/>
      <c r="E20" s="32"/>
      <c r="F20" s="32"/>
      <c r="G20" s="32"/>
      <c r="H20" s="32"/>
      <c r="I20" s="33"/>
      <c r="J20" s="40"/>
    </row>
    <row r="21" spans="1:10" x14ac:dyDescent="0.25">
      <c r="A21" s="30"/>
      <c r="B21" s="35" t="s">
        <v>31</v>
      </c>
      <c r="C21" s="35"/>
      <c r="D21" s="35"/>
      <c r="E21" s="35"/>
      <c r="F21" s="35"/>
      <c r="G21" s="35"/>
      <c r="H21" s="35"/>
      <c r="I21" s="35"/>
      <c r="J21" s="36"/>
    </row>
    <row r="22" spans="1:10" x14ac:dyDescent="0.25">
      <c r="A22" s="30"/>
      <c r="B22" s="31" t="s">
        <v>32</v>
      </c>
      <c r="C22" s="31"/>
      <c r="D22" s="31"/>
      <c r="E22" s="41">
        <f>40/(0.9*VBAT)*E88</f>
        <v>7.6153580086185997</v>
      </c>
      <c r="F22" s="41">
        <f>40/(0.9*VBAT_MIN)*F88</f>
        <v>13.368716025273583</v>
      </c>
      <c r="G22" s="41"/>
      <c r="H22" s="32"/>
      <c r="I22" s="33"/>
      <c r="J22" s="34"/>
    </row>
    <row r="23" spans="1:10" x14ac:dyDescent="0.25">
      <c r="A23" s="30"/>
      <c r="B23" s="31" t="str">
        <f>A28</f>
        <v>5V_MAIN</v>
      </c>
      <c r="C23" s="31"/>
      <c r="D23" s="31"/>
      <c r="E23" s="32">
        <f>V5_MAIN/(0.9*VBAT)*E62</f>
        <v>2.4630066093029059E-2</v>
      </c>
      <c r="F23" s="32">
        <f>V5_MAIN/(0.9*VBAT_MIN)*F62</f>
        <v>3.7887612283433993E-2</v>
      </c>
      <c r="G23" s="32"/>
      <c r="H23" s="32"/>
      <c r="I23" s="33" t="s">
        <v>33</v>
      </c>
      <c r="J23" s="34"/>
    </row>
    <row r="24" spans="1:10" x14ac:dyDescent="0.25">
      <c r="A24" s="30"/>
      <c r="B24" s="31"/>
      <c r="C24" s="31"/>
      <c r="D24" s="31"/>
      <c r="E24" s="32"/>
      <c r="F24" s="32"/>
      <c r="G24" s="32"/>
      <c r="H24" s="32"/>
      <c r="I24" s="33"/>
      <c r="J24" s="34"/>
    </row>
    <row r="25" spans="1:10" x14ac:dyDescent="0.25">
      <c r="A25" s="30"/>
      <c r="B25" s="31"/>
      <c r="C25" s="31"/>
      <c r="D25" s="31"/>
      <c r="E25" s="32"/>
      <c r="F25" s="32"/>
      <c r="G25" s="32"/>
      <c r="H25" s="32"/>
      <c r="I25" s="33"/>
      <c r="J25" s="34"/>
    </row>
    <row r="26" spans="1:10" ht="15.75" thickBot="1" x14ac:dyDescent="0.3">
      <c r="A26" s="42" t="s">
        <v>34</v>
      </c>
      <c r="B26" s="43"/>
      <c r="C26" s="43"/>
      <c r="D26" s="43"/>
      <c r="E26" s="44">
        <f>SUM(E8:E25)</f>
        <v>8.1144725191560738</v>
      </c>
      <c r="F26" s="44">
        <f>SUM(F8:F25)</f>
        <v>15.220663637557017</v>
      </c>
      <c r="G26" s="44"/>
      <c r="H26" s="44"/>
      <c r="I26" s="45"/>
      <c r="J26" s="46"/>
    </row>
    <row r="27" spans="1:10" ht="15.75" thickBot="1" x14ac:dyDescent="0.3">
      <c r="E27"/>
      <c r="F27"/>
      <c r="G27"/>
      <c r="H27"/>
    </row>
    <row r="28" spans="1:10" x14ac:dyDescent="0.25">
      <c r="A28" s="47" t="s">
        <v>35</v>
      </c>
      <c r="B28" s="28" t="s">
        <v>20</v>
      </c>
      <c r="C28" s="28"/>
      <c r="D28" s="28"/>
      <c r="E28" s="28"/>
      <c r="F28" s="28"/>
      <c r="G28" s="28"/>
      <c r="H28" s="28"/>
      <c r="I28" s="28"/>
      <c r="J28" s="29"/>
    </row>
    <row r="29" spans="1:10" x14ac:dyDescent="0.25">
      <c r="A29" s="48"/>
      <c r="B29" s="49" t="s">
        <v>36</v>
      </c>
      <c r="C29" s="49"/>
      <c r="D29" s="49" t="s">
        <v>37</v>
      </c>
      <c r="E29" s="38">
        <v>0.03</v>
      </c>
      <c r="F29" s="38">
        <v>0.03</v>
      </c>
      <c r="G29" s="50"/>
      <c r="H29" s="51"/>
      <c r="I29" s="52"/>
      <c r="J29" s="40"/>
    </row>
    <row r="30" spans="1:10" x14ac:dyDescent="0.25">
      <c r="A30" s="48"/>
      <c r="B30" s="49" t="s">
        <v>38</v>
      </c>
      <c r="C30" s="49"/>
      <c r="D30" s="49" t="s">
        <v>39</v>
      </c>
      <c r="E30" s="50">
        <v>2.0000000000000002E-5</v>
      </c>
      <c r="F30" s="50">
        <v>4.0000000000000003E-5</v>
      </c>
      <c r="G30" s="50"/>
      <c r="H30" s="51"/>
      <c r="I30" s="52"/>
      <c r="J30" s="40"/>
    </row>
    <row r="31" spans="1:10" x14ac:dyDescent="0.25">
      <c r="A31" s="48"/>
      <c r="B31" s="49" t="s">
        <v>38</v>
      </c>
      <c r="C31" s="49"/>
      <c r="D31" s="49" t="s">
        <v>40</v>
      </c>
      <c r="E31" s="50">
        <v>2.0000000000000002E-5</v>
      </c>
      <c r="F31" s="50">
        <v>4.0000000000000003E-5</v>
      </c>
      <c r="G31" s="50"/>
      <c r="H31" s="51"/>
      <c r="I31" s="52"/>
      <c r="J31" s="40"/>
    </row>
    <row r="32" spans="1:10" x14ac:dyDescent="0.25">
      <c r="A32" s="48"/>
      <c r="B32" s="49"/>
      <c r="C32" s="49"/>
      <c r="D32" s="49"/>
      <c r="E32" s="50"/>
      <c r="F32" s="50"/>
      <c r="G32" s="50"/>
      <c r="H32" s="51"/>
      <c r="I32" s="52"/>
      <c r="J32" s="40"/>
    </row>
    <row r="33" spans="1:10" x14ac:dyDescent="0.25">
      <c r="A33" s="48"/>
      <c r="B33" s="49"/>
      <c r="C33" s="49"/>
      <c r="D33" s="49"/>
      <c r="E33" s="50"/>
      <c r="F33" s="50"/>
      <c r="G33" s="50"/>
      <c r="H33" s="51"/>
      <c r="I33" s="52"/>
      <c r="J33" s="40"/>
    </row>
    <row r="34" spans="1:10" x14ac:dyDescent="0.25">
      <c r="A34" s="48"/>
      <c r="B34" s="49"/>
      <c r="C34" s="49"/>
      <c r="D34" s="49"/>
      <c r="E34" s="50"/>
      <c r="F34" s="50"/>
      <c r="G34" s="50"/>
      <c r="H34" s="51"/>
      <c r="I34" s="52"/>
      <c r="J34" s="40"/>
    </row>
    <row r="35" spans="1:10" x14ac:dyDescent="0.25">
      <c r="A35" s="48"/>
      <c r="B35" s="53" t="s">
        <v>41</v>
      </c>
      <c r="C35" s="54"/>
      <c r="D35" s="54"/>
      <c r="E35" s="54"/>
      <c r="F35" s="54"/>
      <c r="G35" s="54"/>
      <c r="H35" s="54"/>
      <c r="I35" s="54"/>
      <c r="J35" s="55"/>
    </row>
    <row r="36" spans="1:10" x14ac:dyDescent="0.25">
      <c r="A36" s="48"/>
      <c r="B36" s="49" t="s">
        <v>42</v>
      </c>
      <c r="C36" s="49" t="s">
        <v>18</v>
      </c>
      <c r="D36" s="49" t="s">
        <v>43</v>
      </c>
      <c r="E36" s="41">
        <f>V5_MAIN/(1*mega)</f>
        <v>5.0000000000000004E-6</v>
      </c>
      <c r="F36" s="41">
        <f>V5_MAIN/(20+499000+86600)</f>
        <v>8.5379597691335681E-6</v>
      </c>
      <c r="G36" s="41"/>
      <c r="H36" s="51"/>
      <c r="I36" s="52"/>
      <c r="J36" s="40"/>
    </row>
    <row r="37" spans="1:10" x14ac:dyDescent="0.25">
      <c r="A37" s="48"/>
      <c r="B37" s="49" t="s">
        <v>44</v>
      </c>
      <c r="C37" s="49"/>
      <c r="D37" s="49" t="s">
        <v>45</v>
      </c>
      <c r="E37" s="41">
        <f>5/2200</f>
        <v>2.2727272727272726E-3</v>
      </c>
      <c r="F37" s="41">
        <f>5/2200</f>
        <v>2.2727272727272726E-3</v>
      </c>
      <c r="G37" s="41"/>
      <c r="H37" s="51"/>
      <c r="I37" s="52"/>
      <c r="J37" s="40"/>
    </row>
    <row r="38" spans="1:10" x14ac:dyDescent="0.25">
      <c r="A38" s="48"/>
      <c r="B38" s="49" t="s">
        <v>46</v>
      </c>
      <c r="C38" s="49"/>
      <c r="D38" s="49" t="s">
        <v>47</v>
      </c>
      <c r="E38" s="41">
        <f>5/1000</f>
        <v>5.0000000000000001E-3</v>
      </c>
      <c r="F38" s="41">
        <f t="shared" ref="F38:F42" si="0">5/1000</f>
        <v>5.0000000000000001E-3</v>
      </c>
      <c r="G38" s="41"/>
      <c r="H38" s="51"/>
      <c r="I38" s="52"/>
      <c r="J38" s="40"/>
    </row>
    <row r="39" spans="1:10" x14ac:dyDescent="0.25">
      <c r="A39" s="48"/>
      <c r="B39" s="49" t="s">
        <v>48</v>
      </c>
      <c r="C39" s="49"/>
      <c r="D39" s="49"/>
      <c r="E39" s="41">
        <f t="shared" ref="E39:E42" si="1">5/1000</f>
        <v>5.0000000000000001E-3</v>
      </c>
      <c r="F39" s="41">
        <f t="shared" si="0"/>
        <v>5.0000000000000001E-3</v>
      </c>
      <c r="G39" s="41"/>
      <c r="H39" s="51"/>
      <c r="I39" s="52"/>
      <c r="J39" s="40"/>
    </row>
    <row r="40" spans="1:10" x14ac:dyDescent="0.25">
      <c r="A40" s="48"/>
      <c r="B40" s="49" t="s">
        <v>49</v>
      </c>
      <c r="C40" s="49"/>
      <c r="D40" s="49"/>
      <c r="E40" s="41">
        <f>0.5*5/1000</f>
        <v>2.5000000000000001E-3</v>
      </c>
      <c r="F40" s="41">
        <f>0.5*5/1000</f>
        <v>2.5000000000000001E-3</v>
      </c>
      <c r="G40" s="41"/>
      <c r="H40" s="51"/>
      <c r="I40" s="52"/>
      <c r="J40" s="40"/>
    </row>
    <row r="41" spans="1:10" x14ac:dyDescent="0.25">
      <c r="A41" s="48"/>
      <c r="B41" s="49" t="s">
        <v>50</v>
      </c>
      <c r="C41" s="49"/>
      <c r="D41" s="49" t="s">
        <v>51</v>
      </c>
      <c r="E41" s="41">
        <f t="shared" si="1"/>
        <v>5.0000000000000001E-3</v>
      </c>
      <c r="F41" s="41">
        <f t="shared" si="0"/>
        <v>5.0000000000000001E-3</v>
      </c>
      <c r="G41" s="41"/>
      <c r="H41" s="51"/>
      <c r="I41" s="52"/>
      <c r="J41" s="40"/>
    </row>
    <row r="42" spans="1:10" x14ac:dyDescent="0.25">
      <c r="A42" s="48"/>
      <c r="B42" s="49" t="s">
        <v>52</v>
      </c>
      <c r="C42" s="49"/>
      <c r="D42" s="49"/>
      <c r="E42" s="41">
        <f t="shared" si="1"/>
        <v>5.0000000000000001E-3</v>
      </c>
      <c r="F42" s="41">
        <f t="shared" si="0"/>
        <v>5.0000000000000001E-3</v>
      </c>
      <c r="G42" s="41"/>
      <c r="H42" s="51"/>
      <c r="I42" s="52"/>
      <c r="J42" s="40"/>
    </row>
    <row r="43" spans="1:10" x14ac:dyDescent="0.25">
      <c r="A43" s="48"/>
      <c r="B43" s="49" t="s">
        <v>53</v>
      </c>
      <c r="C43" s="49"/>
      <c r="D43" s="49"/>
      <c r="E43" s="41">
        <f t="shared" ref="E43:F43" si="2">0.5*5/1000</f>
        <v>2.5000000000000001E-3</v>
      </c>
      <c r="F43" s="41">
        <f t="shared" si="2"/>
        <v>2.5000000000000001E-3</v>
      </c>
      <c r="G43" s="41"/>
      <c r="H43" s="51"/>
      <c r="I43" s="52"/>
      <c r="J43" s="40"/>
    </row>
    <row r="44" spans="1:10" x14ac:dyDescent="0.25">
      <c r="A44" s="48"/>
      <c r="B44" s="49" t="s">
        <v>54</v>
      </c>
      <c r="C44" s="49"/>
      <c r="D44" s="49" t="s">
        <v>55</v>
      </c>
      <c r="E44" s="41">
        <f>2.5/75000</f>
        <v>3.3333333333333335E-5</v>
      </c>
      <c r="F44" s="41">
        <f>5/75000</f>
        <v>6.666666666666667E-5</v>
      </c>
      <c r="G44" s="41"/>
      <c r="H44" s="51"/>
      <c r="I44" s="52"/>
      <c r="J44" s="40"/>
    </row>
    <row r="45" spans="1:10" x14ac:dyDescent="0.25">
      <c r="A45" s="48"/>
      <c r="B45" s="49" t="s">
        <v>54</v>
      </c>
      <c r="C45" s="49"/>
      <c r="D45" s="49" t="s">
        <v>56</v>
      </c>
      <c r="E45" s="41">
        <f t="shared" ref="E45:E50" si="3">2.5/75000</f>
        <v>3.3333333333333335E-5</v>
      </c>
      <c r="F45" s="41">
        <f t="shared" ref="F45:F50" si="4">5/75000</f>
        <v>6.666666666666667E-5</v>
      </c>
      <c r="G45" s="41"/>
      <c r="H45" s="51"/>
      <c r="I45" s="52"/>
      <c r="J45" s="40"/>
    </row>
    <row r="46" spans="1:10" x14ac:dyDescent="0.25">
      <c r="A46" s="48"/>
      <c r="B46" s="49" t="s">
        <v>54</v>
      </c>
      <c r="C46" s="49"/>
      <c r="D46" s="49" t="s">
        <v>57</v>
      </c>
      <c r="E46" s="41">
        <f t="shared" si="3"/>
        <v>3.3333333333333335E-5</v>
      </c>
      <c r="F46" s="41">
        <f t="shared" si="4"/>
        <v>6.666666666666667E-5</v>
      </c>
      <c r="G46" s="41"/>
      <c r="H46" s="51"/>
      <c r="I46" s="52"/>
      <c r="J46" s="40"/>
    </row>
    <row r="47" spans="1:10" x14ac:dyDescent="0.25">
      <c r="A47" s="48"/>
      <c r="B47" s="49" t="s">
        <v>54</v>
      </c>
      <c r="C47" s="49"/>
      <c r="D47" s="49" t="s">
        <v>58</v>
      </c>
      <c r="E47" s="41">
        <f t="shared" si="3"/>
        <v>3.3333333333333335E-5</v>
      </c>
      <c r="F47" s="41">
        <f t="shared" si="4"/>
        <v>6.666666666666667E-5</v>
      </c>
      <c r="G47" s="41"/>
      <c r="H47" s="51"/>
      <c r="I47" s="52"/>
      <c r="J47" s="40"/>
    </row>
    <row r="48" spans="1:10" x14ac:dyDescent="0.25">
      <c r="A48" s="48"/>
      <c r="B48" s="49" t="s">
        <v>54</v>
      </c>
      <c r="C48" s="49"/>
      <c r="D48" s="49" t="s">
        <v>59</v>
      </c>
      <c r="E48" s="41">
        <f t="shared" si="3"/>
        <v>3.3333333333333335E-5</v>
      </c>
      <c r="F48" s="41">
        <f t="shared" si="4"/>
        <v>6.666666666666667E-5</v>
      </c>
      <c r="G48" s="41"/>
      <c r="H48" s="51"/>
      <c r="I48" s="52"/>
      <c r="J48" s="40"/>
    </row>
    <row r="49" spans="1:10" x14ac:dyDescent="0.25">
      <c r="A49" s="48"/>
      <c r="B49" s="49" t="s">
        <v>54</v>
      </c>
      <c r="C49" s="49"/>
      <c r="D49" s="49" t="s">
        <v>60</v>
      </c>
      <c r="E49" s="41">
        <f t="shared" si="3"/>
        <v>3.3333333333333335E-5</v>
      </c>
      <c r="F49" s="41">
        <f t="shared" si="4"/>
        <v>6.666666666666667E-5</v>
      </c>
      <c r="G49" s="41"/>
      <c r="H49" s="51"/>
      <c r="I49" s="52"/>
      <c r="J49" s="40"/>
    </row>
    <row r="50" spans="1:10" x14ac:dyDescent="0.25">
      <c r="A50" s="48"/>
      <c r="B50" s="49" t="s">
        <v>54</v>
      </c>
      <c r="C50" s="49"/>
      <c r="D50" s="49" t="s">
        <v>61</v>
      </c>
      <c r="E50" s="41">
        <f t="shared" si="3"/>
        <v>3.3333333333333335E-5</v>
      </c>
      <c r="F50" s="41">
        <f t="shared" si="4"/>
        <v>6.666666666666667E-5</v>
      </c>
      <c r="G50" s="41"/>
      <c r="H50" s="51"/>
      <c r="I50" s="52"/>
      <c r="J50" s="40"/>
    </row>
    <row r="51" spans="1:10" x14ac:dyDescent="0.25">
      <c r="A51" s="48"/>
      <c r="B51" s="49" t="s">
        <v>62</v>
      </c>
      <c r="C51" s="49"/>
      <c r="D51" s="49" t="s">
        <v>63</v>
      </c>
      <c r="E51" s="41">
        <f>2.5/10000</f>
        <v>2.5000000000000001E-4</v>
      </c>
      <c r="F51" s="41">
        <f>5/10000</f>
        <v>5.0000000000000001E-4</v>
      </c>
      <c r="G51" s="41"/>
      <c r="H51" s="51"/>
      <c r="I51" s="52"/>
      <c r="J51" s="40"/>
    </row>
    <row r="52" spans="1:10" x14ac:dyDescent="0.25">
      <c r="A52" s="48"/>
      <c r="B52" s="49" t="s">
        <v>62</v>
      </c>
      <c r="C52" s="49"/>
      <c r="D52" s="49" t="s">
        <v>64</v>
      </c>
      <c r="E52" s="41">
        <f t="shared" ref="E52:E55" si="5">2.5/10000</f>
        <v>2.5000000000000001E-4</v>
      </c>
      <c r="F52" s="41">
        <f t="shared" ref="F52:F55" si="6">5/10000</f>
        <v>5.0000000000000001E-4</v>
      </c>
      <c r="G52" s="41"/>
      <c r="H52" s="51"/>
      <c r="I52" s="52"/>
      <c r="J52" s="40"/>
    </row>
    <row r="53" spans="1:10" x14ac:dyDescent="0.25">
      <c r="A53" s="48"/>
      <c r="B53" s="49" t="s">
        <v>62</v>
      </c>
      <c r="C53" s="49"/>
      <c r="D53" s="49" t="s">
        <v>65</v>
      </c>
      <c r="E53" s="41">
        <f t="shared" si="5"/>
        <v>2.5000000000000001E-4</v>
      </c>
      <c r="F53" s="41">
        <f t="shared" si="6"/>
        <v>5.0000000000000001E-4</v>
      </c>
      <c r="G53" s="41"/>
      <c r="H53" s="51"/>
      <c r="I53" s="52"/>
      <c r="J53" s="40"/>
    </row>
    <row r="54" spans="1:10" x14ac:dyDescent="0.25">
      <c r="A54" s="48"/>
      <c r="B54" s="49" t="s">
        <v>62</v>
      </c>
      <c r="C54" s="49"/>
      <c r="D54" s="49" t="s">
        <v>66</v>
      </c>
      <c r="E54" s="41">
        <f t="shared" si="5"/>
        <v>2.5000000000000001E-4</v>
      </c>
      <c r="F54" s="41">
        <f t="shared" si="6"/>
        <v>5.0000000000000001E-4</v>
      </c>
      <c r="G54" s="41"/>
      <c r="H54" s="51"/>
      <c r="I54" s="52"/>
      <c r="J54" s="40"/>
    </row>
    <row r="55" spans="1:10" x14ac:dyDescent="0.25">
      <c r="A55" s="48"/>
      <c r="B55" s="49" t="s">
        <v>62</v>
      </c>
      <c r="C55" s="49"/>
      <c r="D55" s="49" t="s">
        <v>67</v>
      </c>
      <c r="E55" s="41">
        <f t="shared" si="5"/>
        <v>2.5000000000000001E-4</v>
      </c>
      <c r="F55" s="41">
        <f t="shared" si="6"/>
        <v>5.0000000000000001E-4</v>
      </c>
      <c r="G55" s="41"/>
      <c r="H55" s="51"/>
      <c r="I55" s="52"/>
      <c r="J55" s="40"/>
    </row>
    <row r="56" spans="1:10" x14ac:dyDescent="0.25">
      <c r="A56" s="48"/>
      <c r="B56" s="49" t="s">
        <v>68</v>
      </c>
      <c r="C56" s="49"/>
      <c r="D56" s="49" t="s">
        <v>69</v>
      </c>
      <c r="E56" s="41">
        <f>5/200000</f>
        <v>2.5000000000000001E-5</v>
      </c>
      <c r="F56" s="41">
        <f t="shared" ref="F56:F57" si="7">5/200000</f>
        <v>2.5000000000000001E-5</v>
      </c>
      <c r="G56" s="41"/>
      <c r="H56" s="51"/>
      <c r="I56" s="52"/>
      <c r="J56" s="40"/>
    </row>
    <row r="57" spans="1:10" x14ac:dyDescent="0.25">
      <c r="A57" s="48"/>
      <c r="B57" s="49" t="s">
        <v>68</v>
      </c>
      <c r="C57" s="49"/>
      <c r="D57" s="49" t="s">
        <v>70</v>
      </c>
      <c r="E57" s="41">
        <f t="shared" ref="E57" si="8">5/200000</f>
        <v>2.5000000000000001E-5</v>
      </c>
      <c r="F57" s="41">
        <f t="shared" si="7"/>
        <v>2.5000000000000001E-5</v>
      </c>
      <c r="G57" s="41"/>
      <c r="H57" s="51"/>
      <c r="I57" s="52"/>
      <c r="J57" s="40"/>
    </row>
    <row r="58" spans="1:10" x14ac:dyDescent="0.25">
      <c r="A58" s="48"/>
      <c r="B58" s="49" t="s">
        <v>71</v>
      </c>
      <c r="C58" s="49"/>
      <c r="D58" s="49" t="s">
        <v>72</v>
      </c>
      <c r="E58" s="41">
        <f>5/10000</f>
        <v>5.0000000000000001E-4</v>
      </c>
      <c r="F58" s="41">
        <f t="shared" ref="F58:F59" si="9">5/10000</f>
        <v>5.0000000000000001E-4</v>
      </c>
      <c r="G58" s="41"/>
      <c r="H58" s="51"/>
      <c r="I58" s="52"/>
      <c r="J58" s="40"/>
    </row>
    <row r="59" spans="1:10" x14ac:dyDescent="0.25">
      <c r="A59" s="48"/>
      <c r="B59" s="49" t="s">
        <v>73</v>
      </c>
      <c r="C59" s="49"/>
      <c r="D59" s="49" t="s">
        <v>74</v>
      </c>
      <c r="E59" s="41">
        <f t="shared" ref="E59" si="10">5/10000</f>
        <v>5.0000000000000001E-4</v>
      </c>
      <c r="F59" s="41">
        <f t="shared" si="9"/>
        <v>5.0000000000000001E-4</v>
      </c>
      <c r="G59" s="41"/>
      <c r="H59" s="51"/>
      <c r="I59" s="52"/>
      <c r="J59" s="40"/>
    </row>
    <row r="60" spans="1:10" x14ac:dyDescent="0.25">
      <c r="A60" s="48"/>
      <c r="B60" s="49"/>
      <c r="C60" s="49"/>
      <c r="D60" s="49"/>
      <c r="E60" s="41"/>
      <c r="F60" s="41"/>
      <c r="G60" s="41"/>
      <c r="H60" s="51"/>
      <c r="I60" s="52"/>
      <c r="J60" s="40"/>
    </row>
    <row r="61" spans="1:10" x14ac:dyDescent="0.25">
      <c r="A61" s="48"/>
      <c r="B61" s="49"/>
      <c r="C61" s="49"/>
      <c r="D61" s="49"/>
      <c r="E61" s="41"/>
      <c r="F61" s="41"/>
      <c r="G61" s="41"/>
      <c r="H61" s="51"/>
      <c r="I61" s="52"/>
      <c r="J61" s="40"/>
    </row>
    <row r="62" spans="1:10" ht="15.75" thickBot="1" x14ac:dyDescent="0.3">
      <c r="A62" s="42" t="s">
        <v>75</v>
      </c>
      <c r="B62" s="56"/>
      <c r="C62" s="56"/>
      <c r="D62" s="56"/>
      <c r="E62" s="57">
        <f>SUM(E29:E61)</f>
        <v>5.9851060606060616E-2</v>
      </c>
      <c r="F62" s="57">
        <f>SUM(F29:F61)</f>
        <v>6.137793189916306E-2</v>
      </c>
      <c r="G62" s="57"/>
      <c r="H62" s="57"/>
      <c r="I62" s="58"/>
      <c r="J62" s="59"/>
    </row>
    <row r="63" spans="1:10" ht="15.75" thickBot="1" x14ac:dyDescent="0.3">
      <c r="E63"/>
      <c r="F63"/>
      <c r="G63"/>
      <c r="H63"/>
    </row>
    <row r="64" spans="1:10" x14ac:dyDescent="0.25">
      <c r="A64" s="47" t="s">
        <v>32</v>
      </c>
      <c r="B64" s="28" t="s">
        <v>20</v>
      </c>
      <c r="C64" s="28"/>
      <c r="D64" s="28"/>
      <c r="E64" s="28"/>
      <c r="F64" s="28"/>
      <c r="G64" s="28"/>
      <c r="H64" s="28"/>
      <c r="I64" s="28"/>
      <c r="J64" s="29"/>
    </row>
    <row r="65" spans="1:10" x14ac:dyDescent="0.25">
      <c r="A65" s="48"/>
      <c r="B65" s="39" t="s">
        <v>76</v>
      </c>
      <c r="C65" s="39"/>
      <c r="D65" s="39" t="s">
        <v>77</v>
      </c>
      <c r="E65" s="38">
        <f>0.003+2*0.00125+0.0001</f>
        <v>5.5999999999999999E-3</v>
      </c>
      <c r="F65" s="38">
        <f>0.004+2*0.00125+0.0001</f>
        <v>6.6000000000000008E-3</v>
      </c>
      <c r="G65" s="38"/>
      <c r="H65" s="51"/>
      <c r="I65" s="52"/>
      <c r="J65" s="34"/>
    </row>
    <row r="66" spans="1:10" x14ac:dyDescent="0.25">
      <c r="A66" s="48"/>
      <c r="B66" s="39" t="s">
        <v>76</v>
      </c>
      <c r="C66" s="39"/>
      <c r="D66" s="39" t="s">
        <v>78</v>
      </c>
      <c r="E66" s="38">
        <f t="shared" ref="E66:E68" si="11">0.003+2*0.00125+0.0001</f>
        <v>5.5999999999999999E-3</v>
      </c>
      <c r="F66" s="38">
        <f t="shared" ref="F66:F68" si="12">0.004+2*0.00125+0.0001</f>
        <v>6.6000000000000008E-3</v>
      </c>
      <c r="G66" s="50"/>
      <c r="H66" s="51"/>
      <c r="I66" s="52"/>
      <c r="J66" s="40"/>
    </row>
    <row r="67" spans="1:10" x14ac:dyDescent="0.25">
      <c r="A67" s="48"/>
      <c r="B67" s="39" t="s">
        <v>76</v>
      </c>
      <c r="C67" s="39"/>
      <c r="D67" s="39" t="s">
        <v>79</v>
      </c>
      <c r="E67" s="38">
        <f t="shared" si="11"/>
        <v>5.5999999999999999E-3</v>
      </c>
      <c r="F67" s="38">
        <f t="shared" si="12"/>
        <v>6.6000000000000008E-3</v>
      </c>
      <c r="G67" s="50"/>
      <c r="H67" s="51"/>
      <c r="I67" s="52"/>
      <c r="J67" s="40"/>
    </row>
    <row r="68" spans="1:10" x14ac:dyDescent="0.25">
      <c r="A68" s="48"/>
      <c r="B68" s="39" t="s">
        <v>76</v>
      </c>
      <c r="C68" s="39"/>
      <c r="D68" s="39" t="s">
        <v>80</v>
      </c>
      <c r="E68" s="38">
        <f t="shared" si="11"/>
        <v>5.5999999999999999E-3</v>
      </c>
      <c r="F68" s="38">
        <f t="shared" si="12"/>
        <v>6.6000000000000008E-3</v>
      </c>
      <c r="G68" s="50"/>
      <c r="H68" s="51"/>
      <c r="I68" s="52"/>
      <c r="J68" s="40"/>
    </row>
    <row r="69" spans="1:10" x14ac:dyDescent="0.25">
      <c r="A69" s="48"/>
      <c r="B69" s="49"/>
      <c r="C69" s="49"/>
      <c r="D69" s="49"/>
      <c r="E69" s="50"/>
      <c r="F69" s="50"/>
      <c r="G69" s="50"/>
      <c r="H69" s="51"/>
      <c r="I69" s="52"/>
      <c r="J69" s="40"/>
    </row>
    <row r="70" spans="1:10" x14ac:dyDescent="0.25">
      <c r="A70" s="48"/>
      <c r="B70" s="49"/>
      <c r="C70" s="49"/>
      <c r="D70" s="49"/>
      <c r="E70" s="37"/>
      <c r="F70" s="38"/>
      <c r="G70" s="50"/>
      <c r="H70" s="51"/>
      <c r="I70" s="52"/>
      <c r="J70" s="40"/>
    </row>
    <row r="71" spans="1:10" x14ac:dyDescent="0.25">
      <c r="A71" s="48"/>
      <c r="B71" s="49"/>
      <c r="C71" s="49"/>
      <c r="D71" s="49"/>
      <c r="E71" s="50"/>
      <c r="F71" s="50"/>
      <c r="G71" s="50"/>
      <c r="H71" s="51"/>
      <c r="I71" s="52"/>
      <c r="J71" s="40"/>
    </row>
    <row r="72" spans="1:10" x14ac:dyDescent="0.25">
      <c r="A72" s="48"/>
      <c r="B72" s="35" t="s">
        <v>41</v>
      </c>
      <c r="C72" s="35"/>
      <c r="D72" s="35"/>
      <c r="E72" s="35"/>
      <c r="F72" s="35"/>
      <c r="G72" s="35"/>
      <c r="H72" s="35"/>
      <c r="I72" s="35"/>
      <c r="J72" s="36"/>
    </row>
    <row r="73" spans="1:10" x14ac:dyDescent="0.25">
      <c r="A73" s="48"/>
      <c r="B73" s="49" t="s">
        <v>81</v>
      </c>
      <c r="C73" s="49"/>
      <c r="D73" s="49" t="s">
        <v>82</v>
      </c>
      <c r="E73" s="50">
        <f>40/(103010)</f>
        <v>3.8831181438695275E-4</v>
      </c>
      <c r="F73" s="50">
        <f>40/(103010)</f>
        <v>3.8831181438695275E-4</v>
      </c>
      <c r="G73" s="50"/>
      <c r="H73" s="51"/>
      <c r="I73" s="52"/>
      <c r="J73" s="40"/>
    </row>
    <row r="74" spans="1:10" x14ac:dyDescent="0.25">
      <c r="A74" s="48"/>
      <c r="B74" s="49" t="s">
        <v>83</v>
      </c>
      <c r="C74" s="49"/>
      <c r="D74" s="49" t="s">
        <v>84</v>
      </c>
      <c r="E74" s="50">
        <f>40/106190</f>
        <v>3.7668330351257179E-4</v>
      </c>
      <c r="F74" s="50">
        <f>40/106190</f>
        <v>3.7668330351257179E-4</v>
      </c>
      <c r="G74" s="50"/>
      <c r="H74" s="51"/>
      <c r="I74" s="52"/>
      <c r="J74" s="40"/>
    </row>
    <row r="75" spans="1:10" x14ac:dyDescent="0.25">
      <c r="A75" s="48"/>
      <c r="B75" s="49"/>
      <c r="C75" s="49"/>
      <c r="D75" s="49"/>
      <c r="E75" s="50"/>
      <c r="F75" s="50"/>
      <c r="G75" s="50"/>
      <c r="H75" s="51"/>
      <c r="I75" s="52"/>
      <c r="J75" s="40"/>
    </row>
    <row r="76" spans="1:10" x14ac:dyDescent="0.25">
      <c r="A76" s="48"/>
      <c r="B76" s="49"/>
      <c r="C76" s="49"/>
      <c r="D76" s="49"/>
      <c r="E76" s="50"/>
      <c r="F76" s="50"/>
      <c r="G76" s="50"/>
      <c r="H76" s="51"/>
      <c r="I76" s="52"/>
      <c r="J76" s="40"/>
    </row>
    <row r="77" spans="1:10" x14ac:dyDescent="0.25">
      <c r="A77" s="48"/>
      <c r="B77" s="35" t="s">
        <v>41</v>
      </c>
      <c r="C77" s="35"/>
      <c r="D77" s="35"/>
      <c r="E77" s="35"/>
      <c r="F77" s="35"/>
      <c r="G77" s="35"/>
      <c r="H77" s="35"/>
      <c r="I77" s="35"/>
      <c r="J77" s="36"/>
    </row>
    <row r="78" spans="1:10" x14ac:dyDescent="0.25">
      <c r="A78" s="48"/>
      <c r="B78" s="49" t="s">
        <v>85</v>
      </c>
      <c r="C78" s="49"/>
      <c r="D78" s="49"/>
      <c r="E78" s="50">
        <v>0.24</v>
      </c>
      <c r="F78" s="50">
        <v>0.28000000000000003</v>
      </c>
      <c r="G78" s="50"/>
      <c r="H78" s="51"/>
      <c r="I78" s="52"/>
      <c r="J78" s="40"/>
    </row>
    <row r="79" spans="1:10" x14ac:dyDescent="0.25">
      <c r="A79" s="48"/>
      <c r="B79" s="49" t="s">
        <v>86</v>
      </c>
      <c r="C79" s="49"/>
      <c r="D79" s="49"/>
      <c r="E79" s="50">
        <v>0.47</v>
      </c>
      <c r="F79" s="50">
        <v>0.56000000000000005</v>
      </c>
      <c r="G79" s="50"/>
      <c r="H79" s="51"/>
      <c r="I79" s="52"/>
      <c r="J79" s="40"/>
    </row>
    <row r="80" spans="1:10" x14ac:dyDescent="0.25">
      <c r="A80" s="48"/>
      <c r="B80" s="49" t="s">
        <v>87</v>
      </c>
      <c r="C80" s="49"/>
      <c r="D80" s="49"/>
      <c r="E80" s="50">
        <v>0.03</v>
      </c>
      <c r="F80" s="50">
        <v>0.04</v>
      </c>
      <c r="G80" s="50"/>
      <c r="H80" s="51"/>
      <c r="I80" s="52"/>
      <c r="J80" s="40"/>
    </row>
    <row r="81" spans="1:10" x14ac:dyDescent="0.25">
      <c r="A81" s="48"/>
      <c r="B81" s="49" t="s">
        <v>88</v>
      </c>
      <c r="C81" s="49"/>
      <c r="D81" s="49"/>
      <c r="E81" s="50">
        <v>0.47</v>
      </c>
      <c r="F81" s="50">
        <v>0.56000000000000005</v>
      </c>
      <c r="G81" s="50"/>
      <c r="H81" s="51"/>
      <c r="I81" s="52"/>
      <c r="J81" s="40"/>
    </row>
    <row r="82" spans="1:10" x14ac:dyDescent="0.25">
      <c r="A82" s="48"/>
      <c r="B82" s="49" t="s">
        <v>89</v>
      </c>
      <c r="C82" s="49"/>
      <c r="D82" s="49"/>
      <c r="E82" s="50">
        <v>0.33</v>
      </c>
      <c r="F82" s="50">
        <v>0.38</v>
      </c>
      <c r="G82" s="50"/>
      <c r="H82" s="51"/>
      <c r="I82" s="52"/>
      <c r="J82" s="40"/>
    </row>
    <row r="83" spans="1:10" x14ac:dyDescent="0.25">
      <c r="A83" s="48"/>
      <c r="B83" s="49" t="s">
        <v>90</v>
      </c>
      <c r="C83" s="49"/>
      <c r="D83" s="49"/>
      <c r="E83" s="50">
        <v>0.47</v>
      </c>
      <c r="F83" s="50">
        <v>0.54</v>
      </c>
      <c r="G83" s="50"/>
      <c r="H83" s="51"/>
      <c r="I83" s="52"/>
      <c r="J83" s="40"/>
    </row>
    <row r="84" spans="1:10" x14ac:dyDescent="0.25">
      <c r="A84" s="48"/>
      <c r="B84" s="49" t="s">
        <v>91</v>
      </c>
      <c r="C84" s="49"/>
      <c r="D84" s="49"/>
      <c r="E84" s="50">
        <v>0.14000000000000001</v>
      </c>
      <c r="F84" s="50">
        <v>0.16</v>
      </c>
      <c r="G84" s="50"/>
      <c r="H84" s="51"/>
      <c r="I84" s="52"/>
      <c r="J84" s="40"/>
    </row>
    <row r="85" spans="1:10" x14ac:dyDescent="0.25">
      <c r="A85" s="48"/>
      <c r="B85" s="49" t="s">
        <v>92</v>
      </c>
      <c r="C85" s="49"/>
      <c r="D85" s="49"/>
      <c r="E85" s="50">
        <v>0.14000000000000001</v>
      </c>
      <c r="F85" s="50">
        <v>0.16</v>
      </c>
      <c r="G85" s="50"/>
      <c r="H85" s="51"/>
      <c r="I85" s="52"/>
      <c r="J85" s="40"/>
    </row>
    <row r="86" spans="1:10" x14ac:dyDescent="0.25">
      <c r="A86" s="48"/>
      <c r="B86" s="39"/>
      <c r="C86" s="39"/>
      <c r="D86" s="39"/>
      <c r="E86" s="50"/>
      <c r="F86" s="50"/>
      <c r="G86" s="50"/>
      <c r="H86" s="51"/>
      <c r="I86" s="52"/>
      <c r="J86" s="40"/>
    </row>
    <row r="87" spans="1:10" x14ac:dyDescent="0.25">
      <c r="A87" s="48"/>
      <c r="B87" s="39"/>
      <c r="C87" s="39"/>
      <c r="D87" s="39"/>
      <c r="E87" s="50"/>
      <c r="F87" s="50"/>
      <c r="G87" s="50"/>
      <c r="H87" s="51"/>
      <c r="I87" s="52"/>
      <c r="J87" s="40"/>
    </row>
    <row r="88" spans="1:10" ht="15.75" thickBot="1" x14ac:dyDescent="0.3">
      <c r="A88" s="42" t="s">
        <v>93</v>
      </c>
      <c r="B88" s="56"/>
      <c r="C88" s="56"/>
      <c r="D88" s="56"/>
      <c r="E88" s="57">
        <f>SUM(E65:E87)</f>
        <v>2.3131649951178996</v>
      </c>
      <c r="F88" s="57">
        <f>SUM(F65:F87)</f>
        <v>2.7071649951179002</v>
      </c>
      <c r="G88" s="57"/>
      <c r="H88" s="57"/>
      <c r="I88" s="58"/>
      <c r="J88" s="59"/>
    </row>
    <row r="89" spans="1:10" x14ac:dyDescent="0.25">
      <c r="B89" s="60"/>
      <c r="C89" s="60"/>
      <c r="D89" s="60"/>
      <c r="E89" s="60"/>
      <c r="F89" s="60"/>
      <c r="G89" s="60"/>
      <c r="H89" s="60"/>
      <c r="I89" s="60"/>
    </row>
  </sheetData>
  <mergeCells count="21">
    <mergeCell ref="A64:A87"/>
    <mergeCell ref="B64:J64"/>
    <mergeCell ref="B72:J72"/>
    <mergeCell ref="B77:J77"/>
    <mergeCell ref="A7:A25"/>
    <mergeCell ref="B7:J7"/>
    <mergeCell ref="B12:J12"/>
    <mergeCell ref="B21:J21"/>
    <mergeCell ref="A28:A61"/>
    <mergeCell ref="B28:J28"/>
    <mergeCell ref="B35:J35"/>
    <mergeCell ref="B1:I1"/>
    <mergeCell ref="A3:I3"/>
    <mergeCell ref="J3:J6"/>
    <mergeCell ref="A4:A6"/>
    <mergeCell ref="B4:B6"/>
    <mergeCell ref="D4:D6"/>
    <mergeCell ref="E4:H4"/>
    <mergeCell ref="I4:I6"/>
    <mergeCell ref="E5:F5"/>
    <mergeCell ref="G5:H5"/>
  </mergeCells>
  <conditionalFormatting sqref="J76 J3:J14 J86:J1048576 J17:J36 J41:J73">
    <cfRule type="containsText" dxfId="123" priority="58" operator="containsText" text="Left">
      <formula>NOT(ISERROR(SEARCH("Left",J3)))</formula>
    </cfRule>
    <cfRule type="containsText" dxfId="122" priority="59" operator="containsText" text="Both">
      <formula>NOT(ISERROR(SEARCH("Both",J3)))</formula>
    </cfRule>
  </conditionalFormatting>
  <conditionalFormatting sqref="J74">
    <cfRule type="containsText" dxfId="119" priority="55" operator="containsText" text="Right">
      <formula>NOT(ISERROR(SEARCH("Right",J74)))</formula>
    </cfRule>
    <cfRule type="containsText" dxfId="118" priority="56" operator="containsText" text="Left">
      <formula>NOT(ISERROR(SEARCH("Left",J74)))</formula>
    </cfRule>
    <cfRule type="containsText" dxfId="117" priority="57" operator="containsText" text="Both">
      <formula>NOT(ISERROR(SEARCH("Both",J74)))</formula>
    </cfRule>
  </conditionalFormatting>
  <conditionalFormatting sqref="E8:F14 E86:F171 E17:F29 E32:F65 E69:F76">
    <cfRule type="expression" dxfId="113" priority="54">
      <formula>ISNUMBER(E8)</formula>
    </cfRule>
  </conditionalFormatting>
  <conditionalFormatting sqref="J37">
    <cfRule type="containsText" dxfId="111" priority="51" operator="containsText" text="Right">
      <formula>NOT(ISERROR(SEARCH("Right",J37)))</formula>
    </cfRule>
    <cfRule type="containsText" dxfId="110" priority="52" operator="containsText" text="Left">
      <formula>NOT(ISERROR(SEARCH("Left",J37)))</formula>
    </cfRule>
    <cfRule type="containsText" dxfId="109" priority="53" operator="containsText" text="Both">
      <formula>NOT(ISERROR(SEARCH("Both",J37)))</formula>
    </cfRule>
  </conditionalFormatting>
  <conditionalFormatting sqref="J38">
    <cfRule type="containsText" dxfId="105" priority="48" operator="containsText" text="Right">
      <formula>NOT(ISERROR(SEARCH("Right",J38)))</formula>
    </cfRule>
    <cfRule type="containsText" dxfId="104" priority="49" operator="containsText" text="Left">
      <formula>NOT(ISERROR(SEARCH("Left",J38)))</formula>
    </cfRule>
    <cfRule type="containsText" dxfId="103" priority="50" operator="containsText" text="Both">
      <formula>NOT(ISERROR(SEARCH("Both",J38)))</formula>
    </cfRule>
  </conditionalFormatting>
  <conditionalFormatting sqref="J39">
    <cfRule type="containsText" dxfId="99" priority="45" operator="containsText" text="Right">
      <formula>NOT(ISERROR(SEARCH("Right",J39)))</formula>
    </cfRule>
    <cfRule type="containsText" dxfId="98" priority="46" operator="containsText" text="Left">
      <formula>NOT(ISERROR(SEARCH("Left",J39)))</formula>
    </cfRule>
    <cfRule type="containsText" dxfId="97" priority="47" operator="containsText" text="Both">
      <formula>NOT(ISERROR(SEARCH("Both",J39)))</formula>
    </cfRule>
  </conditionalFormatting>
  <conditionalFormatting sqref="J40">
    <cfRule type="containsText" dxfId="93" priority="42" operator="containsText" text="Right">
      <formula>NOT(ISERROR(SEARCH("Right",J40)))</formula>
    </cfRule>
    <cfRule type="containsText" dxfId="92" priority="43" operator="containsText" text="Left">
      <formula>NOT(ISERROR(SEARCH("Left",J40)))</formula>
    </cfRule>
    <cfRule type="containsText" dxfId="91" priority="44" operator="containsText" text="Both">
      <formula>NOT(ISERROR(SEARCH("Both",J40)))</formula>
    </cfRule>
  </conditionalFormatting>
  <conditionalFormatting sqref="J75">
    <cfRule type="containsText" dxfId="87" priority="39" operator="containsText" text="Right">
      <formula>NOT(ISERROR(SEARCH("Right",J75)))</formula>
    </cfRule>
    <cfRule type="containsText" dxfId="86" priority="40" operator="containsText" text="Left">
      <formula>NOT(ISERROR(SEARCH("Left",J75)))</formula>
    </cfRule>
    <cfRule type="containsText" dxfId="85" priority="41" operator="containsText" text="Both">
      <formula>NOT(ISERROR(SEARCH("Both",J75)))</formula>
    </cfRule>
  </conditionalFormatting>
  <conditionalFormatting sqref="J15">
    <cfRule type="containsText" dxfId="81" priority="36" operator="containsText" text="Right">
      <formula>NOT(ISERROR(SEARCH("Right",J15)))</formula>
    </cfRule>
    <cfRule type="containsText" dxfId="80" priority="37" operator="containsText" text="Left">
      <formula>NOT(ISERROR(SEARCH("Left",J15)))</formula>
    </cfRule>
    <cfRule type="containsText" dxfId="79" priority="38" operator="containsText" text="Both">
      <formula>NOT(ISERROR(SEARCH("Both",J15)))</formula>
    </cfRule>
  </conditionalFormatting>
  <conditionalFormatting sqref="J16">
    <cfRule type="containsText" dxfId="75" priority="33" operator="containsText" text="Right">
      <formula>NOT(ISERROR(SEARCH("Right",J16)))</formula>
    </cfRule>
    <cfRule type="containsText" dxfId="74" priority="34" operator="containsText" text="Left">
      <formula>NOT(ISERROR(SEARCH("Left",J16)))</formula>
    </cfRule>
    <cfRule type="containsText" dxfId="73" priority="35" operator="containsText" text="Both">
      <formula>NOT(ISERROR(SEARCH("Both",J16)))</formula>
    </cfRule>
  </conditionalFormatting>
  <conditionalFormatting sqref="J14">
    <cfRule type="containsText" dxfId="69" priority="30" operator="containsText" text="Right">
      <formula>NOT(ISERROR(SEARCH("Right",J14)))</formula>
    </cfRule>
    <cfRule type="containsText" dxfId="68" priority="31" operator="containsText" text="Left">
      <formula>NOT(ISERROR(SEARCH("Left",J14)))</formula>
    </cfRule>
    <cfRule type="containsText" dxfId="67" priority="32" operator="containsText" text="Both">
      <formula>NOT(ISERROR(SEARCH("Both",J14)))</formula>
    </cfRule>
  </conditionalFormatting>
  <conditionalFormatting sqref="J14">
    <cfRule type="containsText" dxfId="63" priority="27" operator="containsText" text="Right">
      <formula>NOT(ISERROR(SEARCH("Right",J14)))</formula>
    </cfRule>
    <cfRule type="containsText" dxfId="62" priority="28" operator="containsText" text="Left">
      <formula>NOT(ISERROR(SEARCH("Left",J14)))</formula>
    </cfRule>
    <cfRule type="containsText" dxfId="61" priority="29" operator="containsText" text="Both">
      <formula>NOT(ISERROR(SEARCH("Both",J14)))</formula>
    </cfRule>
  </conditionalFormatting>
  <conditionalFormatting sqref="J65">
    <cfRule type="containsText" dxfId="57" priority="24" operator="containsText" text="Right">
      <formula>NOT(ISERROR(SEARCH("Right",J65)))</formula>
    </cfRule>
    <cfRule type="containsText" dxfId="56" priority="25" operator="containsText" text="Left">
      <formula>NOT(ISERROR(SEARCH("Left",J65)))</formula>
    </cfRule>
    <cfRule type="containsText" dxfId="55" priority="26" operator="containsText" text="Both">
      <formula>NOT(ISERROR(SEARCH("Both",J65)))</formula>
    </cfRule>
  </conditionalFormatting>
  <conditionalFormatting sqref="J65">
    <cfRule type="containsText" dxfId="51" priority="21" operator="containsText" text="Right">
      <formula>NOT(ISERROR(SEARCH("Right",J65)))</formula>
    </cfRule>
    <cfRule type="containsText" dxfId="50" priority="22" operator="containsText" text="Left">
      <formula>NOT(ISERROR(SEARCH("Left",J65)))</formula>
    </cfRule>
    <cfRule type="containsText" dxfId="49" priority="23" operator="containsText" text="Both">
      <formula>NOT(ISERROR(SEARCH("Both",J65)))</formula>
    </cfRule>
  </conditionalFormatting>
  <conditionalFormatting sqref="J65">
    <cfRule type="containsText" dxfId="45" priority="18" operator="containsText" text="Right">
      <formula>NOT(ISERROR(SEARCH("Right",J65)))</formula>
    </cfRule>
    <cfRule type="containsText" dxfId="44" priority="19" operator="containsText" text="Left">
      <formula>NOT(ISERROR(SEARCH("Left",J65)))</formula>
    </cfRule>
    <cfRule type="containsText" dxfId="43" priority="20" operator="containsText" text="Both">
      <formula>NOT(ISERROR(SEARCH("Both",J65)))</formula>
    </cfRule>
  </conditionalFormatting>
  <conditionalFormatting sqref="J65">
    <cfRule type="containsText" dxfId="39" priority="15" operator="containsText" text="Right">
      <formula>NOT(ISERROR(SEARCH("Right",J65)))</formula>
    </cfRule>
    <cfRule type="containsText" dxfId="38" priority="16" operator="containsText" text="Left">
      <formula>NOT(ISERROR(SEARCH("Left",J65)))</formula>
    </cfRule>
    <cfRule type="containsText" dxfId="37" priority="17" operator="containsText" text="Both">
      <formula>NOT(ISERROR(SEARCH("Both",J65)))</formula>
    </cfRule>
  </conditionalFormatting>
  <conditionalFormatting sqref="E15:F15">
    <cfRule type="expression" dxfId="33" priority="14">
      <formula>ISNUMBER(E15)</formula>
    </cfRule>
  </conditionalFormatting>
  <conditionalFormatting sqref="E15:F15">
    <cfRule type="expression" dxfId="31" priority="13">
      <formula>ISNUMBER(E15)</formula>
    </cfRule>
  </conditionalFormatting>
  <conditionalFormatting sqref="E66:F68">
    <cfRule type="expression" dxfId="29" priority="12">
      <formula>ISNUMBER(E66)</formula>
    </cfRule>
  </conditionalFormatting>
  <conditionalFormatting sqref="J77">
    <cfRule type="containsText" dxfId="27" priority="10" operator="containsText" text="Left">
      <formula>NOT(ISERROR(SEARCH("Left",J77)))</formula>
    </cfRule>
    <cfRule type="containsText" dxfId="26" priority="11" operator="containsText" text="Both">
      <formula>NOT(ISERROR(SEARCH("Both",J77)))</formula>
    </cfRule>
  </conditionalFormatting>
  <conditionalFormatting sqref="E77:F77">
    <cfRule type="expression" dxfId="23" priority="9">
      <formula>ISNUMBER(E77)</formula>
    </cfRule>
  </conditionalFormatting>
  <conditionalFormatting sqref="J79 J85">
    <cfRule type="containsText" dxfId="21" priority="7" operator="containsText" text="Left">
      <formula>NOT(ISERROR(SEARCH("Left",J79)))</formula>
    </cfRule>
    <cfRule type="containsText" dxfId="20" priority="8" operator="containsText" text="Both">
      <formula>NOT(ISERROR(SEARCH("Both",J79)))</formula>
    </cfRule>
  </conditionalFormatting>
  <conditionalFormatting sqref="E78:F85">
    <cfRule type="expression" dxfId="17" priority="6">
      <formula>ISNUMBER(E78)</formula>
    </cfRule>
  </conditionalFormatting>
  <conditionalFormatting sqref="J78 J80:J84">
    <cfRule type="containsText" dxfId="15" priority="3" operator="containsText" text="Right">
      <formula>NOT(ISERROR(SEARCH("Right",J78)))</formula>
    </cfRule>
    <cfRule type="containsText" dxfId="14" priority="4" operator="containsText" text="Left">
      <formula>NOT(ISERROR(SEARCH("Left",J78)))</formula>
    </cfRule>
    <cfRule type="containsText" dxfId="13" priority="5" operator="containsText" text="Both">
      <formula>NOT(ISERROR(SEARCH("Both",J78)))</formula>
    </cfRule>
  </conditionalFormatting>
  <conditionalFormatting sqref="E16:F16">
    <cfRule type="expression" dxfId="9" priority="1">
      <formula>ISNUMBER(E16)</formula>
    </cfRule>
  </conditionalFormatting>
  <conditionalFormatting sqref="E30:F31">
    <cfRule type="expression" dxfId="7" priority="2">
      <formula>ISNUMBER(E30)</formula>
    </cfRule>
  </conditionalFormatting>
  <conditionalFormatting sqref="J15:J16 J74:J75">
    <cfRule type="expression" dxfId="5" priority="60">
      <formula>AND(ISTEXT($J15),NOT(COUNT(SEARCH($N$7:$N$20,$J15))))</formula>
    </cfRule>
  </conditionalFormatting>
  <conditionalFormatting sqref="J8:J4736">
    <cfRule type="expression" dxfId="3" priority="61">
      <formula>AND(ISTEXT($J8),NOT(COUNT(SEARCH($N$7:$N$20,$J8))))</formula>
    </cfRule>
    <cfRule type="containsText" dxfId="2" priority="62" operator="containsText" text="Right">
      <formula>NOT(ISERROR(SEARCH("Right",J8)))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HideDetailLeft">
                <anchor moveWithCells="1" sizeWithCells="1">
                  <from>
                    <xdr:col>1</xdr:col>
                    <xdr:colOff>133350</xdr:colOff>
                    <xdr:row>0</xdr:row>
                    <xdr:rowOff>133350</xdr:rowOff>
                  </from>
                  <to>
                    <xdr:col>1</xdr:col>
                    <xdr:colOff>952500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ShowDetailLeft">
                <anchor moveWithCells="1" sizeWithCells="1">
                  <from>
                    <xdr:col>1</xdr:col>
                    <xdr:colOff>1019175</xdr:colOff>
                    <xdr:row>0</xdr:row>
                    <xdr:rowOff>133350</xdr:rowOff>
                  </from>
                  <to>
                    <xdr:col>1</xdr:col>
                    <xdr:colOff>1847850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IS_LOAD</vt:lpstr>
    </vt:vector>
  </TitlesOfParts>
  <Company>Tesla Motors,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 Harvey</dc:creator>
  <cp:lastModifiedBy>Ross Harvey</cp:lastModifiedBy>
  <dcterms:created xsi:type="dcterms:W3CDTF">2017-05-13T16:37:21Z</dcterms:created>
  <dcterms:modified xsi:type="dcterms:W3CDTF">2017-05-13T16:38:47Z</dcterms:modified>
</cp:coreProperties>
</file>